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Sheet1" sheetId="1" r:id="rId1"/>
    <sheet name="Sheet1 (2)" sheetId="4" r:id="rId2"/>
    <sheet name="Sheet2" sheetId="2" r:id="rId3"/>
    <sheet name="Sheet3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R5" i="4" l="1"/>
  <c r="R6" i="4" s="1"/>
  <c r="D5" i="1"/>
  <c r="D7" i="1" s="1"/>
  <c r="D5" i="4"/>
  <c r="G7" i="1" l="1"/>
  <c r="D9" i="1"/>
  <c r="G8" i="1" l="1"/>
  <c r="G9" i="1" s="1"/>
  <c r="G10" i="1" s="1"/>
  <c r="F13" i="1" s="1"/>
</calcChain>
</file>

<file path=xl/sharedStrings.xml><?xml version="1.0" encoding="utf-8"?>
<sst xmlns="http://schemas.openxmlformats.org/spreadsheetml/2006/main" count="11" uniqueCount="9">
  <si>
    <t>Start</t>
  </si>
  <si>
    <t>Length</t>
  </si>
  <si>
    <t>End</t>
  </si>
  <si>
    <t>Bit start in byte</t>
  </si>
  <si>
    <t>Extra bits</t>
  </si>
  <si>
    <t>Exta bytes</t>
  </si>
  <si>
    <t>Bit</t>
  </si>
  <si>
    <t>Row</t>
  </si>
  <si>
    <t>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</si>
</sst>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G13"/>
  <sheetViews>
    <sheetView workbookViewId="0">
      <selection activeCell="D9" sqref="D9"/>
    </sheetView>
  </sheetViews>
  <sheetFormatPr defaultRowHeight="15" x14ac:dyDescent="0.25"/>
  <cols>
    <col min="3" max="3" width="14.5703125" bestFit="1" customWidth="1"/>
  </cols>
  <sheetData>
    <row r="2" spans="3:7" x14ac:dyDescent="0.25">
      <c r="C2" t="s">
        <v>0</v>
      </c>
      <c r="D2">
        <v>39</v>
      </c>
    </row>
    <row r="3" spans="3:7" x14ac:dyDescent="0.25">
      <c r="C3" t="s">
        <v>1</v>
      </c>
      <c r="D3">
        <v>32</v>
      </c>
    </row>
    <row r="5" spans="3:7" x14ac:dyDescent="0.25">
      <c r="C5" t="s">
        <v>3</v>
      </c>
      <c r="D5" s="1">
        <f>D2-(8*QUOTIENT(D2,8))+1</f>
        <v>8</v>
      </c>
    </row>
    <row r="7" spans="3:7" x14ac:dyDescent="0.25">
      <c r="C7" t="s">
        <v>4</v>
      </c>
      <c r="D7" s="1">
        <f>D3-D5</f>
        <v>24</v>
      </c>
      <c r="G7">
        <f>D2+(8-D5)</f>
        <v>39</v>
      </c>
    </row>
    <row r="8" spans="3:7" x14ac:dyDescent="0.25">
      <c r="G8">
        <f>G7+8*D9</f>
        <v>71</v>
      </c>
    </row>
    <row r="9" spans="3:7" x14ac:dyDescent="0.25">
      <c r="C9" t="s">
        <v>5</v>
      </c>
      <c r="D9">
        <f>QUOTIENT(D7,8)+1</f>
        <v>4</v>
      </c>
      <c r="G9">
        <f>G8-(D7-(D9-1)*8)</f>
        <v>71</v>
      </c>
    </row>
    <row r="10" spans="3:7" x14ac:dyDescent="0.25">
      <c r="G10">
        <f>G9+1</f>
        <v>72</v>
      </c>
    </row>
    <row r="13" spans="3:7" x14ac:dyDescent="0.25">
      <c r="F13">
        <f>IF(D7&gt;0,G10,D2-D3+1)</f>
        <v>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R12"/>
  <sheetViews>
    <sheetView tabSelected="1" workbookViewId="0">
      <selection activeCell="O19" sqref="O19"/>
    </sheetView>
  </sheetViews>
  <sheetFormatPr defaultRowHeight="15" x14ac:dyDescent="0.25"/>
  <cols>
    <col min="3" max="3" width="14.5703125" bestFit="1" customWidth="1"/>
    <col min="6" max="6" width="3.5703125" customWidth="1"/>
    <col min="7" max="14" width="4.28515625" style="2" customWidth="1"/>
  </cols>
  <sheetData>
    <row r="2" spans="3:18" x14ac:dyDescent="0.25">
      <c r="C2" t="s">
        <v>0</v>
      </c>
      <c r="D2">
        <v>7</v>
      </c>
    </row>
    <row r="3" spans="3:18" x14ac:dyDescent="0.25">
      <c r="C3" t="s">
        <v>1</v>
      </c>
      <c r="D3">
        <v>32</v>
      </c>
      <c r="Q3" t="s">
        <v>6</v>
      </c>
      <c r="R3">
        <v>15</v>
      </c>
    </row>
    <row r="4" spans="3:18" x14ac:dyDescent="0.25">
      <c r="G4" s="3">
        <v>0</v>
      </c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</row>
    <row r="5" spans="3:18" x14ac:dyDescent="0.25">
      <c r="C5" t="s">
        <v>2</v>
      </c>
      <c r="D5" t="e">
        <f>EndBit(D2,D3)</f>
        <v>#VALUE!</v>
      </c>
      <c r="F5" s="3">
        <v>0</v>
      </c>
      <c r="G5" s="2">
        <v>7</v>
      </c>
      <c r="H5" s="2">
        <v>6</v>
      </c>
      <c r="I5" s="2">
        <v>5</v>
      </c>
      <c r="J5" s="2">
        <v>4</v>
      </c>
      <c r="K5" s="2">
        <v>3</v>
      </c>
      <c r="L5" s="2">
        <v>2</v>
      </c>
      <c r="M5" s="2">
        <v>1</v>
      </c>
      <c r="N5" s="2">
        <v>0</v>
      </c>
      <c r="Q5" t="s">
        <v>7</v>
      </c>
      <c r="R5">
        <f>QUOTIENT(R3,8)</f>
        <v>1</v>
      </c>
    </row>
    <row r="6" spans="3:18" x14ac:dyDescent="0.25">
      <c r="F6" s="3">
        <v>1</v>
      </c>
      <c r="G6" s="2">
        <v>15</v>
      </c>
      <c r="H6" s="2">
        <v>14</v>
      </c>
      <c r="I6" s="2">
        <v>13</v>
      </c>
      <c r="J6" s="2">
        <v>12</v>
      </c>
      <c r="K6" s="2">
        <v>11</v>
      </c>
      <c r="L6" s="2">
        <v>10</v>
      </c>
      <c r="M6" s="2">
        <v>9</v>
      </c>
      <c r="N6" s="2">
        <v>8</v>
      </c>
      <c r="Q6" t="s">
        <v>8</v>
      </c>
      <c r="R6">
        <f>7-(R3-R5*8)</f>
        <v>0</v>
      </c>
    </row>
    <row r="7" spans="3:18" x14ac:dyDescent="0.25">
      <c r="F7" s="3">
        <v>2</v>
      </c>
      <c r="G7" s="2">
        <v>23</v>
      </c>
      <c r="H7" s="2">
        <v>22</v>
      </c>
      <c r="I7" s="2">
        <v>21</v>
      </c>
      <c r="J7" s="2">
        <v>20</v>
      </c>
      <c r="K7" s="2">
        <v>19</v>
      </c>
      <c r="L7" s="2">
        <v>18</v>
      </c>
      <c r="M7" s="2">
        <v>17</v>
      </c>
      <c r="N7" s="2">
        <v>16</v>
      </c>
    </row>
    <row r="8" spans="3:18" x14ac:dyDescent="0.25">
      <c r="F8" s="3">
        <v>3</v>
      </c>
      <c r="G8" s="2">
        <v>31</v>
      </c>
      <c r="H8" s="2">
        <v>30</v>
      </c>
      <c r="I8" s="2">
        <v>29</v>
      </c>
      <c r="J8" s="2">
        <v>28</v>
      </c>
      <c r="K8" s="2">
        <v>27</v>
      </c>
      <c r="L8" s="2">
        <v>26</v>
      </c>
      <c r="M8" s="2">
        <v>25</v>
      </c>
      <c r="N8" s="2">
        <v>24</v>
      </c>
    </row>
    <row r="9" spans="3:18" x14ac:dyDescent="0.25">
      <c r="F9" s="3">
        <v>4</v>
      </c>
      <c r="G9" s="2">
        <v>39</v>
      </c>
      <c r="H9" s="2">
        <v>38</v>
      </c>
      <c r="I9" s="2">
        <v>37</v>
      </c>
      <c r="J9" s="2">
        <v>36</v>
      </c>
      <c r="K9" s="2">
        <v>35</v>
      </c>
      <c r="L9" s="2">
        <v>34</v>
      </c>
      <c r="M9" s="2">
        <v>33</v>
      </c>
      <c r="N9" s="2">
        <v>32</v>
      </c>
    </row>
    <row r="10" spans="3:18" x14ac:dyDescent="0.25">
      <c r="F10" s="3">
        <v>5</v>
      </c>
      <c r="G10" s="2">
        <v>47</v>
      </c>
      <c r="H10" s="2">
        <v>46</v>
      </c>
      <c r="I10" s="2">
        <v>45</v>
      </c>
      <c r="J10" s="2">
        <v>44</v>
      </c>
      <c r="K10" s="2">
        <v>43</v>
      </c>
      <c r="L10" s="2">
        <v>42</v>
      </c>
      <c r="M10" s="2">
        <v>41</v>
      </c>
      <c r="N10" s="2">
        <v>40</v>
      </c>
    </row>
    <row r="11" spans="3:18" x14ac:dyDescent="0.25">
      <c r="F11" s="3">
        <v>6</v>
      </c>
      <c r="G11" s="2">
        <v>55</v>
      </c>
      <c r="H11" s="2">
        <v>54</v>
      </c>
      <c r="I11" s="2">
        <v>53</v>
      </c>
      <c r="J11" s="2">
        <v>52</v>
      </c>
      <c r="K11" s="2">
        <v>51</v>
      </c>
      <c r="L11" s="2">
        <v>50</v>
      </c>
      <c r="M11" s="2">
        <v>49</v>
      </c>
      <c r="N11" s="2">
        <v>48</v>
      </c>
    </row>
    <row r="12" spans="3:18" x14ac:dyDescent="0.25">
      <c r="F12" s="3">
        <v>7</v>
      </c>
      <c r="G12" s="2">
        <v>63</v>
      </c>
      <c r="H12" s="2">
        <v>62</v>
      </c>
      <c r="I12" s="2">
        <v>61</v>
      </c>
      <c r="J12" s="2">
        <v>60</v>
      </c>
      <c r="K12" s="2">
        <v>59</v>
      </c>
      <c r="L12" s="2">
        <v>58</v>
      </c>
      <c r="M12" s="2">
        <v>57</v>
      </c>
      <c r="N12" s="2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Sheet1 (2)</vt:lpstr>
      <vt:lpstr>Sheet2</vt:lpstr>
      <vt:lpstr>Sheet3</vt:lpstr>
    </vt:vector>
  </TitlesOfParts>
  <Company>FIATGROUP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2014-10-21T14:46:51Z</dcterms:created>
  <dcterms:modified xsi:type="dcterms:W3CDTF">2014-10-21T20:41:51Z</dcterms:modified>
</cp:coreProperties>
</file>